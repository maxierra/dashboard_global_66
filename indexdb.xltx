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407342\Desktop\informe noviembre\"/>
    </mc:Choice>
  </mc:AlternateContent>
  <xr:revisionPtr revIDLastSave="0" documentId="8_{179235F1-789D-40A2-A4F0-D60D3875CD80}" xr6:coauthVersionLast="47" xr6:coauthVersionMax="47" xr10:uidLastSave="{00000000-0000-0000-0000-000000000000}"/>
  <bookViews>
    <workbookView xWindow="0" yWindow="600" windowWidth="23040" windowHeight="12360" xr2:uid="{00000000-000D-0000-FFFF-FFFF0000000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9" i="1" l="1"/>
  <c r="F49" i="1" s="1"/>
  <c r="H49" i="1" s="1"/>
  <c r="I48" i="1"/>
  <c r="F48" i="1" s="1"/>
  <c r="H48" i="1" s="1"/>
  <c r="I47" i="1"/>
  <c r="F47" i="1" s="1"/>
  <c r="H47" i="1" s="1"/>
  <c r="I46" i="1"/>
  <c r="F46" i="1" s="1"/>
  <c r="H46" i="1" s="1"/>
  <c r="I45" i="1"/>
  <c r="F45" i="1" s="1"/>
  <c r="H45" i="1" s="1"/>
  <c r="F44" i="1"/>
  <c r="H44" i="1" s="1"/>
  <c r="I43" i="1"/>
  <c r="F43" i="1" s="1"/>
  <c r="H43" i="1" s="1"/>
  <c r="I42" i="1"/>
  <c r="F42" i="1" s="1"/>
  <c r="H42" i="1" s="1"/>
  <c r="I41" i="1"/>
  <c r="F41" i="1" s="1"/>
  <c r="H41" i="1" s="1"/>
  <c r="I40" i="1"/>
  <c r="F40" i="1" s="1"/>
  <c r="H40" i="1" s="1"/>
  <c r="I39" i="1"/>
  <c r="F39" i="1" s="1"/>
  <c r="H39" i="1" s="1"/>
  <c r="I38" i="1"/>
  <c r="F38" i="1" s="1"/>
  <c r="H38" i="1" s="1"/>
  <c r="I37" i="1"/>
  <c r="F37" i="1" s="1"/>
  <c r="H37" i="1" s="1"/>
  <c r="F36" i="1"/>
  <c r="I36" i="1" s="1"/>
  <c r="I35" i="1"/>
  <c r="F35" i="1" s="1"/>
  <c r="H35" i="1" s="1"/>
  <c r="I34" i="1"/>
  <c r="F34" i="1" s="1"/>
  <c r="H34" i="1" s="1"/>
  <c r="I33" i="1"/>
  <c r="F33" i="1" s="1"/>
  <c r="H33" i="1" s="1"/>
  <c r="I32" i="1"/>
  <c r="F32" i="1" s="1"/>
  <c r="H32" i="1" s="1"/>
  <c r="I31" i="1"/>
  <c r="F31" i="1" s="1"/>
  <c r="H31" i="1" s="1"/>
  <c r="I30" i="1"/>
  <c r="F30" i="1" s="1"/>
  <c r="H30" i="1" s="1"/>
  <c r="I29" i="1"/>
  <c r="F29" i="1" s="1"/>
  <c r="H29" i="1" s="1"/>
  <c r="F28" i="1"/>
  <c r="H28" i="1" s="1"/>
  <c r="I27" i="1"/>
  <c r="F27" i="1" s="1"/>
  <c r="H27" i="1" s="1"/>
  <c r="I26" i="1"/>
  <c r="F26" i="1" s="1"/>
  <c r="H26" i="1" s="1"/>
  <c r="I25" i="1"/>
  <c r="F25" i="1" s="1"/>
  <c r="H25" i="1" s="1"/>
  <c r="I24" i="1"/>
  <c r="F24" i="1" s="1"/>
  <c r="H24" i="1" s="1"/>
  <c r="I23" i="1"/>
  <c r="F23" i="1" s="1"/>
  <c r="H23" i="1" s="1"/>
  <c r="I22" i="1"/>
  <c r="F22" i="1" s="1"/>
  <c r="H22" i="1" s="1"/>
  <c r="I21" i="1"/>
  <c r="F21" i="1" s="1"/>
  <c r="H21" i="1" s="1"/>
  <c r="F20" i="1"/>
  <c r="I20" i="1" s="1"/>
  <c r="I19" i="1"/>
  <c r="F19" i="1" s="1"/>
  <c r="H19" i="1" s="1"/>
  <c r="I18" i="1"/>
  <c r="F18" i="1" s="1"/>
  <c r="H18" i="1" s="1"/>
  <c r="I17" i="1"/>
  <c r="F17" i="1" s="1"/>
  <c r="H17" i="1" s="1"/>
  <c r="I16" i="1"/>
  <c r="F16" i="1" s="1"/>
  <c r="H16" i="1" s="1"/>
  <c r="I15" i="1"/>
  <c r="F15" i="1" s="1"/>
  <c r="H15" i="1" s="1"/>
  <c r="I14" i="1"/>
  <c r="F14" i="1" s="1"/>
  <c r="H14" i="1" s="1"/>
  <c r="I13" i="1"/>
  <c r="F13" i="1" s="1"/>
  <c r="H13" i="1" s="1"/>
  <c r="F12" i="1"/>
  <c r="I12" i="1" s="1"/>
  <c r="I11" i="1"/>
  <c r="F11" i="1" s="1"/>
  <c r="H11" i="1" s="1"/>
  <c r="I10" i="1"/>
  <c r="F10" i="1" s="1"/>
  <c r="H10" i="1" s="1"/>
  <c r="I44" i="1" l="1"/>
  <c r="I28" i="1"/>
  <c r="H36" i="1"/>
  <c r="H20" i="1"/>
  <c r="H12" i="1"/>
  <c r="F4" i="1" l="1"/>
  <c r="I4" i="1" s="1"/>
  <c r="H4" i="1" l="1"/>
  <c r="I3" i="1"/>
  <c r="F3" i="1" s="1"/>
  <c r="H3" i="1" s="1"/>
  <c r="I5" i="1"/>
  <c r="F5" i="1" s="1"/>
  <c r="H5" i="1" s="1"/>
  <c r="I6" i="1"/>
  <c r="F6" i="1" s="1"/>
  <c r="H6" i="1" s="1"/>
  <c r="I7" i="1"/>
  <c r="F7" i="1" s="1"/>
  <c r="H7" i="1" s="1"/>
  <c r="I8" i="1"/>
  <c r="F8" i="1" s="1"/>
  <c r="H8" i="1" s="1"/>
  <c r="I9" i="1"/>
  <c r="F9" i="1" s="1"/>
  <c r="H9" i="1" s="1"/>
  <c r="I2" i="1"/>
  <c r="F2" i="1" s="1"/>
  <c r="H2" i="1" s="1"/>
</calcChain>
</file>

<file path=xl/sharedStrings.xml><?xml version="1.0" encoding="utf-8"?>
<sst xmlns="http://schemas.openxmlformats.org/spreadsheetml/2006/main" count="105" uniqueCount="23">
  <si>
    <t>mes</t>
  </si>
  <si>
    <t>titulo</t>
  </si>
  <si>
    <t>autorizaciones</t>
  </si>
  <si>
    <t>valor 1</t>
  </si>
  <si>
    <t>valor 2</t>
  </si>
  <si>
    <t>valor alcanzado</t>
  </si>
  <si>
    <t>valor esperado</t>
  </si>
  <si>
    <t>diferencia</t>
  </si>
  <si>
    <t>resultado</t>
  </si>
  <si>
    <t>procesadas chile</t>
  </si>
  <si>
    <t>procesadas peru</t>
  </si>
  <si>
    <t>disponibilidad apis</t>
  </si>
  <si>
    <t>tiempos de respuesta apis</t>
  </si>
  <si>
    <t>disponibilidad mastercard</t>
  </si>
  <si>
    <t>disponinibilidad mambu</t>
  </si>
  <si>
    <t>disponibilidad global 66</t>
  </si>
  <si>
    <t>año</t>
  </si>
  <si>
    <t>junio</t>
  </si>
  <si>
    <t>julio</t>
  </si>
  <si>
    <t>agosto</t>
  </si>
  <si>
    <t>septiembre</t>
  </si>
  <si>
    <t>octubre</t>
  </si>
  <si>
    <t>noviembre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</si>
</sst>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1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2" borderId="0" xfId="0" applyNumberFormat="1" applyFill="1" applyAlignment="1">
      <alignment horizontal="center"/>
    </xf>
  </cellXfs>
  <cellStyles count="1">
    <cellStyle name="Normal" xfId="0" builtinId="0"/>
  </cellStyles>
  <dxfs count="11"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numFmt numFmtId="22" formatCode="mmm\-yy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I49" totalsRowShown="0" headerRowDxfId="10" dataDxfId="9">
  <autoFilter ref="A1:I49" xr:uid="{00000000-0009-0000-0100-000001000000}"/>
  <tableColumns count="9">
    <tableColumn id="9" xr3:uid="{B339FC53-C551-494D-BAB2-63B6F63EB7E1}" name="año" dataDxfId="0"/>
    <tableColumn id="1" xr3:uid="{00000000-0010-0000-0000-000001000000}" name="mes" dataDxfId="8"/>
    <tableColumn id="2" xr3:uid="{00000000-0010-0000-0000-000002000000}" name="titulo" dataDxfId="7"/>
    <tableColumn id="3" xr3:uid="{00000000-0010-0000-0000-000003000000}" name="valor 1" dataDxfId="6"/>
    <tableColumn id="4" xr3:uid="{00000000-0010-0000-0000-000004000000}" name="valor 2" dataDxfId="5"/>
    <tableColumn id="5" xr3:uid="{00000000-0010-0000-0000-000005000000}" name="valor alcanzado" dataDxfId="4">
      <calculatedColumnFormula>I2*100/D2</calculatedColumnFormula>
    </tableColumn>
    <tableColumn id="6" xr3:uid="{00000000-0010-0000-0000-000006000000}" name="valor esperado" dataDxfId="3"/>
    <tableColumn id="7" xr3:uid="{00000000-0010-0000-0000-000007000000}" name="diferencia" dataDxfId="2">
      <calculatedColumnFormula>F2-G2</calculatedColumnFormula>
    </tableColumn>
    <tableColumn id="8" xr3:uid="{00000000-0010-0000-0000-000008000000}" name="resultado" dataDxfId="1">
      <calculatedColumnFormula>D2-E2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9"/>
  <sheetViews>
    <sheetView tabSelected="1" topLeftCell="A23" workbookViewId="0">
      <selection activeCell="B42" sqref="B42"/>
    </sheetView>
  </sheetViews>
  <sheetFormatPr baseColWidth="10" defaultRowHeight="14.4" x14ac:dyDescent="0.3"/>
  <cols>
    <col min="1" max="1" width="6.6640625" bestFit="1" customWidth="1"/>
    <col min="2" max="2" width="22.21875" bestFit="1" customWidth="1"/>
    <col min="3" max="3" width="20.77734375" customWidth="1"/>
    <col min="4" max="4" width="8.44140625" customWidth="1"/>
    <col min="5" max="5" width="15.6640625" customWidth="1"/>
    <col min="6" max="6" width="15" customWidth="1"/>
    <col min="7" max="7" width="11" customWidth="1"/>
    <col min="8" max="8" width="10.5546875" customWidth="1"/>
  </cols>
  <sheetData>
    <row r="1" spans="1:9" x14ac:dyDescent="0.3">
      <c r="A1" s="1" t="s">
        <v>16</v>
      </c>
      <c r="B1" s="1" t="s">
        <v>0</v>
      </c>
      <c r="C1" s="1" t="s">
        <v>1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s="7">
        <v>2023</v>
      </c>
      <c r="B2" s="2" t="s">
        <v>17</v>
      </c>
      <c r="C2" s="1" t="s">
        <v>2</v>
      </c>
      <c r="D2" s="1">
        <v>23451</v>
      </c>
      <c r="E2" s="1">
        <v>70</v>
      </c>
      <c r="F2" s="3">
        <f>I2*100/D2</f>
        <v>99.701505266299947</v>
      </c>
      <c r="G2" s="1">
        <v>99.83</v>
      </c>
      <c r="H2" s="3">
        <f>F2-G2</f>
        <v>-0.12849473370005171</v>
      </c>
      <c r="I2" s="1">
        <f>D2-E2</f>
        <v>23381</v>
      </c>
    </row>
    <row r="3" spans="1:9" x14ac:dyDescent="0.3">
      <c r="A3" s="7">
        <v>2023</v>
      </c>
      <c r="B3" s="2" t="s">
        <v>17</v>
      </c>
      <c r="C3" s="1" t="s">
        <v>11</v>
      </c>
      <c r="D3" s="1">
        <v>43200</v>
      </c>
      <c r="E3" s="1">
        <v>0</v>
      </c>
      <c r="F3" s="3">
        <f t="shared" ref="F3:F9" si="0">I3*100/D3</f>
        <v>100</v>
      </c>
      <c r="G3" s="1">
        <v>99.83</v>
      </c>
      <c r="H3" s="3">
        <f>F3-G3</f>
        <v>0.17000000000000171</v>
      </c>
      <c r="I3" s="1">
        <f t="shared" ref="I3:I9" si="1">D3-E3</f>
        <v>43200</v>
      </c>
    </row>
    <row r="4" spans="1:9" x14ac:dyDescent="0.3">
      <c r="A4" s="7">
        <v>2023</v>
      </c>
      <c r="B4" s="2" t="s">
        <v>17</v>
      </c>
      <c r="C4" s="1" t="s">
        <v>12</v>
      </c>
      <c r="D4" s="1">
        <v>27619225.565000091</v>
      </c>
      <c r="E4" s="1">
        <v>46347</v>
      </c>
      <c r="F4" s="3">
        <f>D4/E4</f>
        <v>595.92261775303882</v>
      </c>
      <c r="G4" s="1">
        <v>1000</v>
      </c>
      <c r="H4" s="3">
        <f>G4-F4</f>
        <v>404.07738224696118</v>
      </c>
      <c r="I4" s="3">
        <f>F4</f>
        <v>595.92261775303882</v>
      </c>
    </row>
    <row r="5" spans="1:9" x14ac:dyDescent="0.3">
      <c r="A5" s="7">
        <v>2023</v>
      </c>
      <c r="B5" s="2" t="s">
        <v>17</v>
      </c>
      <c r="C5" s="1" t="s">
        <v>9</v>
      </c>
      <c r="D5" s="1">
        <v>18431</v>
      </c>
      <c r="E5" s="1">
        <v>43</v>
      </c>
      <c r="F5" s="3">
        <f t="shared" si="0"/>
        <v>99.766697411968963</v>
      </c>
      <c r="G5" s="1">
        <v>99.83</v>
      </c>
      <c r="H5" s="3">
        <f>F5-G5</f>
        <v>-6.3302588031035611E-2</v>
      </c>
      <c r="I5" s="1">
        <f t="shared" si="1"/>
        <v>18388</v>
      </c>
    </row>
    <row r="6" spans="1:9" x14ac:dyDescent="0.3">
      <c r="A6" s="7">
        <v>2023</v>
      </c>
      <c r="B6" s="2" t="s">
        <v>17</v>
      </c>
      <c r="C6" s="1" t="s">
        <v>10</v>
      </c>
      <c r="D6" s="1">
        <v>5090</v>
      </c>
      <c r="E6" s="1">
        <v>27</v>
      </c>
      <c r="F6" s="3">
        <f t="shared" si="0"/>
        <v>99.469548133595282</v>
      </c>
      <c r="G6" s="1">
        <v>99.83</v>
      </c>
      <c r="H6" s="3">
        <f t="shared" ref="H6:H9" si="2">F6-G6</f>
        <v>-0.36045186640471627</v>
      </c>
      <c r="I6" s="1">
        <f t="shared" si="1"/>
        <v>5063</v>
      </c>
    </row>
    <row r="7" spans="1:9" x14ac:dyDescent="0.3">
      <c r="A7" s="7">
        <v>2023</v>
      </c>
      <c r="B7" s="2" t="s">
        <v>17</v>
      </c>
      <c r="C7" s="1" t="s">
        <v>13</v>
      </c>
      <c r="D7" s="1">
        <v>43200</v>
      </c>
      <c r="E7" s="1">
        <v>0</v>
      </c>
      <c r="F7" s="3">
        <f t="shared" si="0"/>
        <v>100</v>
      </c>
      <c r="G7" s="1">
        <v>99.83</v>
      </c>
      <c r="H7" s="3">
        <f t="shared" si="2"/>
        <v>0.17000000000000171</v>
      </c>
      <c r="I7" s="1">
        <f t="shared" si="1"/>
        <v>43200</v>
      </c>
    </row>
    <row r="8" spans="1:9" x14ac:dyDescent="0.3">
      <c r="A8" s="7">
        <v>2023</v>
      </c>
      <c r="B8" s="2" t="s">
        <v>17</v>
      </c>
      <c r="C8" s="1" t="s">
        <v>14</v>
      </c>
      <c r="D8" s="1">
        <v>36500</v>
      </c>
      <c r="E8" s="1">
        <v>3495</v>
      </c>
      <c r="F8" s="3">
        <f t="shared" si="0"/>
        <v>90.424657534246577</v>
      </c>
      <c r="G8" s="1">
        <v>99.83</v>
      </c>
      <c r="H8" s="3">
        <f t="shared" si="2"/>
        <v>-9.4053424657534208</v>
      </c>
      <c r="I8" s="1">
        <f t="shared" si="1"/>
        <v>33005</v>
      </c>
    </row>
    <row r="9" spans="1:9" x14ac:dyDescent="0.3">
      <c r="A9" s="7">
        <v>2023</v>
      </c>
      <c r="B9" s="2" t="s">
        <v>17</v>
      </c>
      <c r="C9" s="1" t="s">
        <v>15</v>
      </c>
      <c r="D9" s="1">
        <v>43200</v>
      </c>
      <c r="E9" s="1">
        <v>0</v>
      </c>
      <c r="F9" s="3">
        <f t="shared" si="0"/>
        <v>100</v>
      </c>
      <c r="G9" s="1">
        <v>99.83</v>
      </c>
      <c r="H9" s="3">
        <f t="shared" si="2"/>
        <v>0.17000000000000171</v>
      </c>
      <c r="I9" s="1">
        <f t="shared" si="1"/>
        <v>43200</v>
      </c>
    </row>
    <row r="10" spans="1:9" x14ac:dyDescent="0.3">
      <c r="A10" s="7">
        <v>2023</v>
      </c>
      <c r="B10" s="2" t="s">
        <v>18</v>
      </c>
      <c r="C10" s="1" t="s">
        <v>2</v>
      </c>
      <c r="D10" s="1">
        <v>26947</v>
      </c>
      <c r="E10" s="1">
        <v>227</v>
      </c>
      <c r="F10" s="3">
        <f>I10*100/D10</f>
        <v>99.157605670390026</v>
      </c>
      <c r="G10" s="1">
        <v>99.83</v>
      </c>
      <c r="H10" s="3">
        <f>F10-G10</f>
        <v>-0.67239432960997192</v>
      </c>
      <c r="I10" s="1">
        <f>D10-E10</f>
        <v>26720</v>
      </c>
    </row>
    <row r="11" spans="1:9" x14ac:dyDescent="0.3">
      <c r="A11" s="7">
        <v>2023</v>
      </c>
      <c r="B11" s="2" t="s">
        <v>18</v>
      </c>
      <c r="C11" s="1" t="s">
        <v>11</v>
      </c>
      <c r="D11" s="1">
        <v>43200</v>
      </c>
      <c r="E11" s="1">
        <v>0</v>
      </c>
      <c r="F11" s="3">
        <f t="shared" ref="F11" si="3">I11*100/D11</f>
        <v>100</v>
      </c>
      <c r="G11" s="1">
        <v>99.83</v>
      </c>
      <c r="H11" s="3">
        <f>F11-G11</f>
        <v>0.17000000000000171</v>
      </c>
      <c r="I11" s="1">
        <f t="shared" ref="I11" si="4">D11-E11</f>
        <v>43200</v>
      </c>
    </row>
    <row r="12" spans="1:9" x14ac:dyDescent="0.3">
      <c r="A12" s="7">
        <v>2023</v>
      </c>
      <c r="B12" s="2" t="s">
        <v>18</v>
      </c>
      <c r="C12" s="1" t="s">
        <v>12</v>
      </c>
      <c r="D12" s="1">
        <v>23247710.427999869</v>
      </c>
      <c r="E12" s="1">
        <v>41611</v>
      </c>
      <c r="F12" s="3">
        <f>D12/E12</f>
        <v>558.69146206531616</v>
      </c>
      <c r="G12" s="1">
        <v>1000</v>
      </c>
      <c r="H12" s="3">
        <f>G12-F12</f>
        <v>441.30853793468384</v>
      </c>
      <c r="I12" s="3">
        <f>F12</f>
        <v>558.69146206531616</v>
      </c>
    </row>
    <row r="13" spans="1:9" x14ac:dyDescent="0.3">
      <c r="A13" s="7">
        <v>2023</v>
      </c>
      <c r="B13" s="2" t="s">
        <v>18</v>
      </c>
      <c r="C13" s="1" t="s">
        <v>9</v>
      </c>
      <c r="D13" s="1">
        <v>20050</v>
      </c>
      <c r="E13" s="1">
        <v>93</v>
      </c>
      <c r="F13" s="3">
        <f t="shared" ref="F13:F17" si="5">I13*100/D13</f>
        <v>99.536159600997507</v>
      </c>
      <c r="G13" s="1">
        <v>99.83</v>
      </c>
      <c r="H13" s="3">
        <f>F13-G13</f>
        <v>-0.29384039900249093</v>
      </c>
      <c r="I13" s="1">
        <f t="shared" ref="I13:I17" si="6">D13-E13</f>
        <v>19957</v>
      </c>
    </row>
    <row r="14" spans="1:9" x14ac:dyDescent="0.3">
      <c r="A14" s="7">
        <v>2023</v>
      </c>
      <c r="B14" s="2" t="s">
        <v>18</v>
      </c>
      <c r="C14" s="1" t="s">
        <v>10</v>
      </c>
      <c r="D14" s="1">
        <v>7124</v>
      </c>
      <c r="E14" s="1">
        <v>134</v>
      </c>
      <c r="F14" s="3">
        <f t="shared" si="5"/>
        <v>98.119034250421109</v>
      </c>
      <c r="G14" s="1">
        <v>99.83</v>
      </c>
      <c r="H14" s="3">
        <f t="shared" ref="H14:H17" si="7">F14-G14</f>
        <v>-1.7109657495788895</v>
      </c>
      <c r="I14" s="1">
        <f t="shared" si="6"/>
        <v>6990</v>
      </c>
    </row>
    <row r="15" spans="1:9" x14ac:dyDescent="0.3">
      <c r="A15" s="7">
        <v>2023</v>
      </c>
      <c r="B15" s="2" t="s">
        <v>18</v>
      </c>
      <c r="C15" s="1" t="s">
        <v>13</v>
      </c>
      <c r="D15" s="1">
        <v>43200</v>
      </c>
      <c r="E15" s="1">
        <v>0</v>
      </c>
      <c r="F15" s="3">
        <f t="shared" si="5"/>
        <v>100</v>
      </c>
      <c r="G15" s="1">
        <v>99.83</v>
      </c>
      <c r="H15" s="3">
        <f t="shared" si="7"/>
        <v>0.17000000000000171</v>
      </c>
      <c r="I15" s="1">
        <f t="shared" si="6"/>
        <v>43200</v>
      </c>
    </row>
    <row r="16" spans="1:9" x14ac:dyDescent="0.3">
      <c r="A16" s="7">
        <v>2023</v>
      </c>
      <c r="B16" s="2" t="s">
        <v>18</v>
      </c>
      <c r="C16" s="1" t="s">
        <v>14</v>
      </c>
      <c r="D16" s="1">
        <v>38453</v>
      </c>
      <c r="E16" s="1">
        <v>796</v>
      </c>
      <c r="F16" s="3">
        <f t="shared" si="5"/>
        <v>97.929940446779185</v>
      </c>
      <c r="G16" s="1">
        <v>99.83</v>
      </c>
      <c r="H16" s="3">
        <f t="shared" si="7"/>
        <v>-1.9000595532208138</v>
      </c>
      <c r="I16" s="1">
        <f t="shared" si="6"/>
        <v>37657</v>
      </c>
    </row>
    <row r="17" spans="1:9" x14ac:dyDescent="0.3">
      <c r="A17" s="7">
        <v>2023</v>
      </c>
      <c r="B17" s="2" t="s">
        <v>18</v>
      </c>
      <c r="C17" s="1" t="s">
        <v>15</v>
      </c>
      <c r="D17" s="1">
        <v>43200</v>
      </c>
      <c r="E17" s="1">
        <v>180</v>
      </c>
      <c r="F17" s="3">
        <f t="shared" si="5"/>
        <v>99.583333333333329</v>
      </c>
      <c r="G17" s="1">
        <v>99.83</v>
      </c>
      <c r="H17" s="3">
        <f t="shared" si="7"/>
        <v>-0.2466666666666697</v>
      </c>
      <c r="I17" s="1">
        <f t="shared" si="6"/>
        <v>43020</v>
      </c>
    </row>
    <row r="18" spans="1:9" x14ac:dyDescent="0.3">
      <c r="A18" s="7">
        <v>2023</v>
      </c>
      <c r="B18" s="2" t="s">
        <v>19</v>
      </c>
      <c r="C18" s="1" t="s">
        <v>2</v>
      </c>
      <c r="D18" s="1">
        <v>31296</v>
      </c>
      <c r="E18" s="1">
        <v>454</v>
      </c>
      <c r="F18" s="3">
        <f>I18*100/D18</f>
        <v>98.549335378323107</v>
      </c>
      <c r="G18" s="1">
        <v>99.83</v>
      </c>
      <c r="H18" s="3">
        <f>F18-G18</f>
        <v>-1.2806646216768911</v>
      </c>
      <c r="I18" s="1">
        <f>D18-E18</f>
        <v>30842</v>
      </c>
    </row>
    <row r="19" spans="1:9" x14ac:dyDescent="0.3">
      <c r="A19" s="7">
        <v>2023</v>
      </c>
      <c r="B19" s="2" t="s">
        <v>19</v>
      </c>
      <c r="C19" s="1" t="s">
        <v>11</v>
      </c>
      <c r="D19" s="1">
        <v>43200</v>
      </c>
      <c r="E19" s="1">
        <v>0</v>
      </c>
      <c r="F19" s="3">
        <f t="shared" ref="F19" si="8">I19*100/D19</f>
        <v>100</v>
      </c>
      <c r="G19" s="1">
        <v>99.83</v>
      </c>
      <c r="H19" s="3">
        <f>F19-G19</f>
        <v>0.17000000000000171</v>
      </c>
      <c r="I19" s="1">
        <f t="shared" ref="I19" si="9">D19-E19</f>
        <v>43200</v>
      </c>
    </row>
    <row r="20" spans="1:9" x14ac:dyDescent="0.3">
      <c r="A20" s="7">
        <v>2023</v>
      </c>
      <c r="B20" s="2" t="s">
        <v>19</v>
      </c>
      <c r="C20" s="1" t="s">
        <v>12</v>
      </c>
      <c r="D20" s="1">
        <v>30339086</v>
      </c>
      <c r="E20" s="1">
        <v>49056</v>
      </c>
      <c r="F20" s="3">
        <f>D20/E20</f>
        <v>618.45821102413572</v>
      </c>
      <c r="G20" s="1">
        <v>1000</v>
      </c>
      <c r="H20" s="3">
        <f>G20-F20</f>
        <v>381.54178897586428</v>
      </c>
      <c r="I20" s="3">
        <f>F20</f>
        <v>618.45821102413572</v>
      </c>
    </row>
    <row r="21" spans="1:9" x14ac:dyDescent="0.3">
      <c r="A21" s="7">
        <v>2023</v>
      </c>
      <c r="B21" s="2" t="s">
        <v>19</v>
      </c>
      <c r="C21" s="1" t="s">
        <v>9</v>
      </c>
      <c r="D21" s="1">
        <v>23048</v>
      </c>
      <c r="E21" s="1">
        <v>345</v>
      </c>
      <c r="F21" s="3">
        <f t="shared" ref="F21:F25" si="10">I21*100/D21</f>
        <v>98.503123915307185</v>
      </c>
      <c r="G21" s="1">
        <v>99.83</v>
      </c>
      <c r="H21" s="3">
        <f>F21-G21</f>
        <v>-1.3268760846928132</v>
      </c>
      <c r="I21" s="1">
        <f t="shared" ref="I21:I25" si="11">D21-E21</f>
        <v>22703</v>
      </c>
    </row>
    <row r="22" spans="1:9" x14ac:dyDescent="0.3">
      <c r="A22" s="7">
        <v>2023</v>
      </c>
      <c r="B22" s="2" t="s">
        <v>19</v>
      </c>
      <c r="C22" s="1" t="s">
        <v>10</v>
      </c>
      <c r="D22" s="1">
        <v>8248</v>
      </c>
      <c r="E22" s="1">
        <v>147</v>
      </c>
      <c r="F22" s="3">
        <f t="shared" si="10"/>
        <v>98.21774975751697</v>
      </c>
      <c r="G22" s="1">
        <v>99.83</v>
      </c>
      <c r="H22" s="3">
        <f t="shared" ref="H22:H25" si="12">F22-G22</f>
        <v>-1.6122502424830287</v>
      </c>
      <c r="I22" s="1">
        <f t="shared" si="11"/>
        <v>8101</v>
      </c>
    </row>
    <row r="23" spans="1:9" x14ac:dyDescent="0.3">
      <c r="A23" s="7">
        <v>2023</v>
      </c>
      <c r="B23" s="2" t="s">
        <v>19</v>
      </c>
      <c r="C23" s="1" t="s">
        <v>13</v>
      </c>
      <c r="D23" s="1">
        <v>43200</v>
      </c>
      <c r="E23" s="1">
        <v>0</v>
      </c>
      <c r="F23" s="3">
        <f t="shared" si="10"/>
        <v>100</v>
      </c>
      <c r="G23" s="1">
        <v>99.83</v>
      </c>
      <c r="H23" s="3">
        <f t="shared" si="12"/>
        <v>0.17000000000000171</v>
      </c>
      <c r="I23" s="1">
        <f t="shared" si="11"/>
        <v>43200</v>
      </c>
    </row>
    <row r="24" spans="1:9" x14ac:dyDescent="0.3">
      <c r="A24" s="7">
        <v>2023</v>
      </c>
      <c r="B24" s="2" t="s">
        <v>19</v>
      </c>
      <c r="C24" s="1" t="s">
        <v>14</v>
      </c>
      <c r="D24" s="1">
        <v>47865</v>
      </c>
      <c r="E24" s="1">
        <v>685</v>
      </c>
      <c r="F24" s="3">
        <f t="shared" si="10"/>
        <v>98.568891674501202</v>
      </c>
      <c r="G24" s="1">
        <v>99.83</v>
      </c>
      <c r="H24" s="3">
        <f t="shared" si="12"/>
        <v>-1.261108325498796</v>
      </c>
      <c r="I24" s="1">
        <f t="shared" si="11"/>
        <v>47180</v>
      </c>
    </row>
    <row r="25" spans="1:9" x14ac:dyDescent="0.3">
      <c r="A25" s="7">
        <v>2023</v>
      </c>
      <c r="B25" s="2" t="s">
        <v>19</v>
      </c>
      <c r="C25" s="1" t="s">
        <v>15</v>
      </c>
      <c r="D25" s="1">
        <v>43200</v>
      </c>
      <c r="E25" s="1">
        <v>0</v>
      </c>
      <c r="F25" s="3">
        <f t="shared" si="10"/>
        <v>100</v>
      </c>
      <c r="G25" s="1">
        <v>99.83</v>
      </c>
      <c r="H25" s="3">
        <f t="shared" si="12"/>
        <v>0.17000000000000171</v>
      </c>
      <c r="I25" s="1">
        <f t="shared" si="11"/>
        <v>43200</v>
      </c>
    </row>
    <row r="26" spans="1:9" x14ac:dyDescent="0.3">
      <c r="A26" s="7">
        <v>2023</v>
      </c>
      <c r="B26" s="2" t="s">
        <v>20</v>
      </c>
      <c r="C26" s="1" t="s">
        <v>2</v>
      </c>
      <c r="D26" s="1">
        <v>40367</v>
      </c>
      <c r="E26" s="1">
        <v>134</v>
      </c>
      <c r="F26" s="3">
        <f>I26*100/D26</f>
        <v>99.668045680877938</v>
      </c>
      <c r="G26" s="1">
        <v>99.83</v>
      </c>
      <c r="H26" s="3">
        <f>F26-G26</f>
        <v>-0.16195431912206004</v>
      </c>
      <c r="I26" s="1">
        <f>D26-E26</f>
        <v>40233</v>
      </c>
    </row>
    <row r="27" spans="1:9" x14ac:dyDescent="0.3">
      <c r="A27" s="7">
        <v>2023</v>
      </c>
      <c r="B27" s="2" t="s">
        <v>20</v>
      </c>
      <c r="C27" s="1" t="s">
        <v>11</v>
      </c>
      <c r="D27" s="1">
        <v>43200</v>
      </c>
      <c r="E27" s="1">
        <v>0</v>
      </c>
      <c r="F27" s="3">
        <f t="shared" ref="F27" si="13">I27*100/D27</f>
        <v>100</v>
      </c>
      <c r="G27" s="1">
        <v>99.83</v>
      </c>
      <c r="H27" s="3">
        <f>F27-G27</f>
        <v>0.17000000000000171</v>
      </c>
      <c r="I27" s="1">
        <f t="shared" ref="I27" si="14">D27-E27</f>
        <v>43200</v>
      </c>
    </row>
    <row r="28" spans="1:9" x14ac:dyDescent="0.3">
      <c r="A28" s="7">
        <v>2023</v>
      </c>
      <c r="B28" s="2" t="s">
        <v>20</v>
      </c>
      <c r="C28" s="1" t="s">
        <v>12</v>
      </c>
      <c r="D28" s="1">
        <v>30363526.539999969</v>
      </c>
      <c r="E28" s="1">
        <v>49056</v>
      </c>
      <c r="F28" s="3">
        <f>D28/E28</f>
        <v>618.95642816373061</v>
      </c>
      <c r="G28" s="1">
        <v>1000</v>
      </c>
      <c r="H28" s="3">
        <f>G28-F28</f>
        <v>381.04357183626939</v>
      </c>
      <c r="I28" s="3">
        <f>F28</f>
        <v>618.95642816373061</v>
      </c>
    </row>
    <row r="29" spans="1:9" x14ac:dyDescent="0.3">
      <c r="A29" s="7">
        <v>2023</v>
      </c>
      <c r="B29" s="2" t="s">
        <v>20</v>
      </c>
      <c r="C29" s="1" t="s">
        <v>9</v>
      </c>
      <c r="D29" s="1">
        <v>31894</v>
      </c>
      <c r="E29" s="1">
        <v>94</v>
      </c>
      <c r="F29" s="3">
        <f t="shared" ref="F29:F33" si="15">I29*100/D29</f>
        <v>99.705273719194835</v>
      </c>
      <c r="G29" s="1">
        <v>99.83</v>
      </c>
      <c r="H29" s="3">
        <f>F29-G29</f>
        <v>-0.12472628080516301</v>
      </c>
      <c r="I29" s="1">
        <f t="shared" ref="I29:I33" si="16">D29-E29</f>
        <v>31800</v>
      </c>
    </row>
    <row r="30" spans="1:9" x14ac:dyDescent="0.3">
      <c r="A30" s="7">
        <v>2023</v>
      </c>
      <c r="B30" s="2" t="s">
        <v>20</v>
      </c>
      <c r="C30" s="1" t="s">
        <v>10</v>
      </c>
      <c r="D30" s="1">
        <v>8607</v>
      </c>
      <c r="E30" s="1">
        <v>40</v>
      </c>
      <c r="F30" s="3">
        <f t="shared" si="15"/>
        <v>99.535261996049726</v>
      </c>
      <c r="G30" s="1">
        <v>99.83</v>
      </c>
      <c r="H30" s="3">
        <f t="shared" ref="H30:H33" si="17">F30-G30</f>
        <v>-0.29473800395027183</v>
      </c>
      <c r="I30" s="1">
        <f t="shared" si="16"/>
        <v>8567</v>
      </c>
    </row>
    <row r="31" spans="1:9" x14ac:dyDescent="0.3">
      <c r="A31" s="7">
        <v>2023</v>
      </c>
      <c r="B31" s="2" t="s">
        <v>20</v>
      </c>
      <c r="C31" s="1" t="s">
        <v>13</v>
      </c>
      <c r="D31" s="1">
        <v>43200</v>
      </c>
      <c r="E31" s="1">
        <v>0</v>
      </c>
      <c r="F31" s="3">
        <f t="shared" si="15"/>
        <v>100</v>
      </c>
      <c r="G31" s="1">
        <v>99.83</v>
      </c>
      <c r="H31" s="3">
        <f t="shared" si="17"/>
        <v>0.17000000000000171</v>
      </c>
      <c r="I31" s="1">
        <f t="shared" si="16"/>
        <v>43200</v>
      </c>
    </row>
    <row r="32" spans="1:9" x14ac:dyDescent="0.3">
      <c r="A32" s="7">
        <v>2023</v>
      </c>
      <c r="B32" s="2" t="s">
        <v>20</v>
      </c>
      <c r="C32" s="1" t="s">
        <v>14</v>
      </c>
      <c r="D32" s="1">
        <v>65855</v>
      </c>
      <c r="E32" s="1">
        <v>436</v>
      </c>
      <c r="F32" s="3">
        <f t="shared" si="15"/>
        <v>99.337939412345307</v>
      </c>
      <c r="G32" s="1">
        <v>99.83</v>
      </c>
      <c r="H32" s="3">
        <f t="shared" si="17"/>
        <v>-0.49206058765469152</v>
      </c>
      <c r="I32" s="1">
        <f t="shared" si="16"/>
        <v>65419</v>
      </c>
    </row>
    <row r="33" spans="1:9" x14ac:dyDescent="0.3">
      <c r="A33" s="7">
        <v>2023</v>
      </c>
      <c r="B33" s="2" t="s">
        <v>20</v>
      </c>
      <c r="C33" s="1" t="s">
        <v>15</v>
      </c>
      <c r="D33" s="1">
        <v>43200</v>
      </c>
      <c r="E33" s="1">
        <v>0</v>
      </c>
      <c r="F33" s="3">
        <f t="shared" si="15"/>
        <v>100</v>
      </c>
      <c r="G33" s="1">
        <v>99.83</v>
      </c>
      <c r="H33" s="3">
        <f t="shared" si="17"/>
        <v>0.17000000000000171</v>
      </c>
      <c r="I33" s="1">
        <f t="shared" si="16"/>
        <v>43200</v>
      </c>
    </row>
    <row r="34" spans="1:9" x14ac:dyDescent="0.3">
      <c r="A34" s="7">
        <v>2023</v>
      </c>
      <c r="B34" s="2" t="s">
        <v>21</v>
      </c>
      <c r="C34" s="1" t="s">
        <v>2</v>
      </c>
      <c r="D34" s="1">
        <v>42326</v>
      </c>
      <c r="E34" s="1">
        <v>56</v>
      </c>
      <c r="F34" s="3">
        <f>I34*100/D34</f>
        <v>99.867693616216982</v>
      </c>
      <c r="G34" s="1">
        <v>99.83</v>
      </c>
      <c r="H34" s="3">
        <f>F34-G34</f>
        <v>3.7693616216984083E-2</v>
      </c>
      <c r="I34" s="1">
        <f>D34-E34</f>
        <v>42270</v>
      </c>
    </row>
    <row r="35" spans="1:9" x14ac:dyDescent="0.3">
      <c r="A35" s="7">
        <v>2023</v>
      </c>
      <c r="B35" s="2" t="s">
        <v>21</v>
      </c>
      <c r="C35" s="1" t="s">
        <v>11</v>
      </c>
      <c r="D35" s="1">
        <v>43200</v>
      </c>
      <c r="E35" s="1">
        <v>0</v>
      </c>
      <c r="F35" s="3">
        <f t="shared" ref="F35" si="18">I35*100/D35</f>
        <v>100</v>
      </c>
      <c r="G35" s="1">
        <v>99.83</v>
      </c>
      <c r="H35" s="3">
        <f>F35-G35</f>
        <v>0.17000000000000171</v>
      </c>
      <c r="I35" s="1">
        <f t="shared" ref="I35" si="19">D35-E35</f>
        <v>43200</v>
      </c>
    </row>
    <row r="36" spans="1:9" x14ac:dyDescent="0.3">
      <c r="A36" s="7">
        <v>2023</v>
      </c>
      <c r="B36" s="2" t="s">
        <v>21</v>
      </c>
      <c r="C36" s="1" t="s">
        <v>12</v>
      </c>
      <c r="D36" s="1">
        <v>116627277.63499954</v>
      </c>
      <c r="E36" s="1">
        <v>250301</v>
      </c>
      <c r="F36" s="3">
        <f>D36/E36</f>
        <v>465.94810901674202</v>
      </c>
      <c r="G36" s="1">
        <v>1000</v>
      </c>
      <c r="H36" s="3">
        <f>G36-F36</f>
        <v>534.05189098325798</v>
      </c>
      <c r="I36" s="3">
        <f>F36</f>
        <v>465.94810901674202</v>
      </c>
    </row>
    <row r="37" spans="1:9" x14ac:dyDescent="0.3">
      <c r="A37" s="7">
        <v>2023</v>
      </c>
      <c r="B37" s="2" t="s">
        <v>21</v>
      </c>
      <c r="C37" s="1" t="s">
        <v>9</v>
      </c>
      <c r="D37" s="1">
        <v>31787</v>
      </c>
      <c r="E37" s="1">
        <v>49</v>
      </c>
      <c r="F37" s="3">
        <f t="shared" ref="F37:F41" si="20">I37*100/D37</f>
        <v>99.845848931953313</v>
      </c>
      <c r="G37" s="1">
        <v>99.83</v>
      </c>
      <c r="H37" s="3">
        <f>F37-G37</f>
        <v>1.5848931953314604E-2</v>
      </c>
      <c r="I37" s="1">
        <f t="shared" ref="I37:I41" si="21">D37-E37</f>
        <v>31738</v>
      </c>
    </row>
    <row r="38" spans="1:9" x14ac:dyDescent="0.3">
      <c r="A38" s="7">
        <v>2023</v>
      </c>
      <c r="B38" s="2" t="s">
        <v>21</v>
      </c>
      <c r="C38" s="1" t="s">
        <v>10</v>
      </c>
      <c r="D38" s="1">
        <v>10595</v>
      </c>
      <c r="E38" s="1">
        <v>7</v>
      </c>
      <c r="F38" s="3">
        <f t="shared" si="20"/>
        <v>99.933931099575275</v>
      </c>
      <c r="G38" s="1">
        <v>99.83</v>
      </c>
      <c r="H38" s="3">
        <f t="shared" ref="H38:H41" si="22">F38-G38</f>
        <v>0.10393109957527713</v>
      </c>
      <c r="I38" s="1">
        <f t="shared" si="21"/>
        <v>10588</v>
      </c>
    </row>
    <row r="39" spans="1:9" x14ac:dyDescent="0.3">
      <c r="A39" s="7">
        <v>2023</v>
      </c>
      <c r="B39" s="2" t="s">
        <v>21</v>
      </c>
      <c r="C39" s="1" t="s">
        <v>13</v>
      </c>
      <c r="D39" s="1">
        <v>43200</v>
      </c>
      <c r="E39" s="1">
        <v>0</v>
      </c>
      <c r="F39" s="3">
        <f t="shared" si="20"/>
        <v>100</v>
      </c>
      <c r="G39" s="1">
        <v>99.83</v>
      </c>
      <c r="H39" s="3">
        <f t="shared" si="22"/>
        <v>0.17000000000000171</v>
      </c>
      <c r="I39" s="1">
        <f t="shared" si="21"/>
        <v>43200</v>
      </c>
    </row>
    <row r="40" spans="1:9" x14ac:dyDescent="0.3">
      <c r="A40" s="7">
        <v>2023</v>
      </c>
      <c r="B40" s="2" t="s">
        <v>21</v>
      </c>
      <c r="C40" s="1" t="s">
        <v>14</v>
      </c>
      <c r="D40" s="1">
        <v>42442</v>
      </c>
      <c r="E40" s="1">
        <v>156</v>
      </c>
      <c r="F40" s="3">
        <f t="shared" si="20"/>
        <v>99.632439564582256</v>
      </c>
      <c r="G40" s="1">
        <v>99.83</v>
      </c>
      <c r="H40" s="3">
        <f t="shared" si="22"/>
        <v>-0.19756043541774204</v>
      </c>
      <c r="I40" s="1">
        <f t="shared" si="21"/>
        <v>42286</v>
      </c>
    </row>
    <row r="41" spans="1:9" x14ac:dyDescent="0.3">
      <c r="A41" s="7">
        <v>2023</v>
      </c>
      <c r="B41" s="2" t="s">
        <v>21</v>
      </c>
      <c r="C41" s="1" t="s">
        <v>15</v>
      </c>
      <c r="D41" s="1">
        <v>43200</v>
      </c>
      <c r="E41" s="1">
        <v>0</v>
      </c>
      <c r="F41" s="3">
        <f t="shared" si="20"/>
        <v>100</v>
      </c>
      <c r="G41" s="1">
        <v>99.83</v>
      </c>
      <c r="H41" s="3">
        <f t="shared" si="22"/>
        <v>0.17000000000000171</v>
      </c>
      <c r="I41" s="1">
        <f t="shared" si="21"/>
        <v>43200</v>
      </c>
    </row>
    <row r="42" spans="1:9" x14ac:dyDescent="0.3">
      <c r="A42" s="7">
        <v>2023</v>
      </c>
      <c r="B42" s="4" t="s">
        <v>22</v>
      </c>
      <c r="C42" s="5" t="s">
        <v>2</v>
      </c>
      <c r="D42" s="5">
        <v>0</v>
      </c>
      <c r="E42" s="5">
        <v>0</v>
      </c>
      <c r="F42" s="6" t="e">
        <f>I42*100/D42</f>
        <v>#DIV/0!</v>
      </c>
      <c r="G42" s="5">
        <v>99.83</v>
      </c>
      <c r="H42" s="6" t="e">
        <f>F42-G42</f>
        <v>#DIV/0!</v>
      </c>
      <c r="I42" s="5">
        <f>D42-E42</f>
        <v>0</v>
      </c>
    </row>
    <row r="43" spans="1:9" x14ac:dyDescent="0.3">
      <c r="A43" s="7">
        <v>2023</v>
      </c>
      <c r="B43" s="4" t="s">
        <v>22</v>
      </c>
      <c r="C43" s="5" t="s">
        <v>11</v>
      </c>
      <c r="D43" s="5">
        <v>43200</v>
      </c>
      <c r="E43" s="5">
        <v>0</v>
      </c>
      <c r="F43" s="6">
        <f t="shared" ref="F43" si="23">I43*100/D43</f>
        <v>100</v>
      </c>
      <c r="G43" s="5">
        <v>99.83</v>
      </c>
      <c r="H43" s="6">
        <f>F43-G43</f>
        <v>0.17000000000000171</v>
      </c>
      <c r="I43" s="5">
        <f t="shared" ref="I43" si="24">D43-E43</f>
        <v>43200</v>
      </c>
    </row>
    <row r="44" spans="1:9" x14ac:dyDescent="0.3">
      <c r="A44" s="7">
        <v>2023</v>
      </c>
      <c r="B44" s="4" t="s">
        <v>22</v>
      </c>
      <c r="C44" s="5" t="s">
        <v>12</v>
      </c>
      <c r="D44" s="5">
        <v>0</v>
      </c>
      <c r="E44" s="5">
        <v>0</v>
      </c>
      <c r="F44" s="6" t="e">
        <f>D44/E44</f>
        <v>#DIV/0!</v>
      </c>
      <c r="G44" s="5">
        <v>1000</v>
      </c>
      <c r="H44" s="6" t="e">
        <f>G44-F44</f>
        <v>#DIV/0!</v>
      </c>
      <c r="I44" s="6" t="e">
        <f>F44</f>
        <v>#DIV/0!</v>
      </c>
    </row>
    <row r="45" spans="1:9" x14ac:dyDescent="0.3">
      <c r="A45" s="7">
        <v>2023</v>
      </c>
      <c r="B45" s="4" t="s">
        <v>22</v>
      </c>
      <c r="C45" s="5" t="s">
        <v>9</v>
      </c>
      <c r="D45" s="5">
        <v>0</v>
      </c>
      <c r="E45" s="5">
        <v>0</v>
      </c>
      <c r="F45" s="6" t="e">
        <f t="shared" ref="F45:F49" si="25">I45*100/D45</f>
        <v>#DIV/0!</v>
      </c>
      <c r="G45" s="5">
        <v>99.83</v>
      </c>
      <c r="H45" s="6" t="e">
        <f>F45-G45</f>
        <v>#DIV/0!</v>
      </c>
      <c r="I45" s="5">
        <f t="shared" ref="I45:I49" si="26">D45-E45</f>
        <v>0</v>
      </c>
    </row>
    <row r="46" spans="1:9" x14ac:dyDescent="0.3">
      <c r="A46" s="7">
        <v>2023</v>
      </c>
      <c r="B46" s="4" t="s">
        <v>22</v>
      </c>
      <c r="C46" s="5" t="s">
        <v>10</v>
      </c>
      <c r="D46" s="5">
        <v>0</v>
      </c>
      <c r="E46" s="5">
        <v>0</v>
      </c>
      <c r="F46" s="6" t="e">
        <f t="shared" si="25"/>
        <v>#DIV/0!</v>
      </c>
      <c r="G46" s="5">
        <v>99.83</v>
      </c>
      <c r="H46" s="6" t="e">
        <f t="shared" ref="H46:H49" si="27">F46-G46</f>
        <v>#DIV/0!</v>
      </c>
      <c r="I46" s="5">
        <f t="shared" si="26"/>
        <v>0</v>
      </c>
    </row>
    <row r="47" spans="1:9" x14ac:dyDescent="0.3">
      <c r="A47" s="7">
        <v>2023</v>
      </c>
      <c r="B47" s="4" t="s">
        <v>22</v>
      </c>
      <c r="C47" s="5" t="s">
        <v>13</v>
      </c>
      <c r="D47" s="5">
        <v>43200</v>
      </c>
      <c r="E47" s="5">
        <v>0</v>
      </c>
      <c r="F47" s="6">
        <f t="shared" si="25"/>
        <v>100</v>
      </c>
      <c r="G47" s="5">
        <v>99.83</v>
      </c>
      <c r="H47" s="6">
        <f t="shared" si="27"/>
        <v>0.17000000000000171</v>
      </c>
      <c r="I47" s="5">
        <f t="shared" si="26"/>
        <v>43200</v>
      </c>
    </row>
    <row r="48" spans="1:9" x14ac:dyDescent="0.3">
      <c r="A48" s="7">
        <v>2023</v>
      </c>
      <c r="B48" s="4" t="s">
        <v>22</v>
      </c>
      <c r="C48" s="5" t="s">
        <v>14</v>
      </c>
      <c r="D48" s="5">
        <v>0</v>
      </c>
      <c r="E48" s="5">
        <v>0</v>
      </c>
      <c r="F48" s="6" t="e">
        <f t="shared" si="25"/>
        <v>#DIV/0!</v>
      </c>
      <c r="G48" s="5">
        <v>99.83</v>
      </c>
      <c r="H48" s="6" t="e">
        <f t="shared" si="27"/>
        <v>#DIV/0!</v>
      </c>
      <c r="I48" s="5">
        <f t="shared" si="26"/>
        <v>0</v>
      </c>
    </row>
    <row r="49" spans="1:9" x14ac:dyDescent="0.3">
      <c r="A49" s="7">
        <v>2023</v>
      </c>
      <c r="B49" s="4" t="s">
        <v>22</v>
      </c>
      <c r="C49" s="5" t="s">
        <v>15</v>
      </c>
      <c r="D49" s="5">
        <v>43200</v>
      </c>
      <c r="E49" s="5">
        <v>0</v>
      </c>
      <c r="F49" s="6">
        <f t="shared" si="25"/>
        <v>100</v>
      </c>
      <c r="G49" s="5">
        <v>99.83</v>
      </c>
      <c r="H49" s="6">
        <f t="shared" si="27"/>
        <v>0.17000000000000171</v>
      </c>
      <c r="I49" s="5">
        <f t="shared" si="26"/>
        <v>43200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 Erramouspe</dc:creator>
  <cp:lastModifiedBy>Maximiliano Erramouspe</cp:lastModifiedBy>
  <dcterms:created xsi:type="dcterms:W3CDTF">2023-11-22T11:00:37Z</dcterms:created>
  <dcterms:modified xsi:type="dcterms:W3CDTF">2023-11-22T12:59:16Z</dcterms:modified>
</cp:coreProperties>
</file>